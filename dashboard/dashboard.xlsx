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 - Cursos\1. Projetos\[Projeto] Análise de funil E-commerce\dashboard\"/>
    </mc:Choice>
  </mc:AlternateContent>
  <xr:revisionPtr revIDLastSave="0" documentId="13_ncr:1_{8BAD27AB-B9F4-4E0D-A57D-2568C9B06E10}" xr6:coauthVersionLast="47" xr6:coauthVersionMax="47" xr10:uidLastSave="{00000000-0000-0000-0000-000000000000}"/>
  <bookViews>
    <workbookView xWindow="-108" yWindow="-108" windowWidth="23256" windowHeight="13896" xr2:uid="{CFEE8DA2-EF8C-44DE-85CF-DEED8938642C}"/>
  </bookViews>
  <sheets>
    <sheet name="Dashboard" sheetId="1" r:id="rId1"/>
    <sheet name="Resultados" sheetId="2" r:id="rId2"/>
    <sheet name="Quer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<sst xmlns="http://schemas.openxmlformats.org/spreadsheetml/2006/main" count="34" uniqueCount="31">
  <si>
    <t>1 - Receita/Conversão por canal</t>
  </si>
  <si>
    <t>Canal</t>
  </si>
  <si>
    <t>Conversão (%)</t>
  </si>
  <si>
    <t>Social</t>
  </si>
  <si>
    <t>Email</t>
  </si>
  <si>
    <t>2 - Visita site, Produtos visitados, Adicionado ao carrinho, Compra iniciada, Pagamento finalizado</t>
  </si>
  <si>
    <t>Produto -&gt; Carrinho</t>
  </si>
  <si>
    <t>Carrinho -&gt; Compra</t>
  </si>
  <si>
    <t>Compra -&gt; Pagamento</t>
  </si>
  <si>
    <t>Visita site -&gt; Produto</t>
  </si>
  <si>
    <t>3 - Tipos de campanha</t>
  </si>
  <si>
    <t>Campanha</t>
  </si>
  <si>
    <t>Vendas</t>
  </si>
  <si>
    <t>Influenciadores</t>
  </si>
  <si>
    <t>Novo lançamento</t>
  </si>
  <si>
    <t>Desconto</t>
  </si>
  <si>
    <t>Anúncios pagos</t>
  </si>
  <si>
    <t>Orgânico</t>
  </si>
  <si>
    <t>4 - Receita e ticket médio por mês</t>
  </si>
  <si>
    <t>mês</t>
  </si>
  <si>
    <t>Receita (R$ mil)</t>
  </si>
  <si>
    <t>Ticket Médio</t>
  </si>
  <si>
    <t>Novos</t>
  </si>
  <si>
    <t>Recorrentes</t>
  </si>
  <si>
    <t>5 - Regiões mais lucrativas</t>
  </si>
  <si>
    <t>Região</t>
  </si>
  <si>
    <t>Lucro</t>
  </si>
  <si>
    <t>Metropolitana</t>
  </si>
  <si>
    <t>Não metropolitana</t>
  </si>
  <si>
    <t>6 - Usuários novos vs recorrentes</t>
  </si>
  <si>
    <t>Tipo usuário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</si>
</sst>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0" fontId="0" fillId="2" borderId="0" xfId="0" applyFill="1"/>
    <xf numFmtId="164" fontId="0" fillId="2" borderId="0" xfId="1" applyNumberFormat="1" applyFont="1" applyFill="1"/>
    <xf numFmtId="10" fontId="0" fillId="2" borderId="0" xfId="1" applyNumberFormat="1" applyFont="1" applyFill="1"/>
    <xf numFmtId="0" fontId="0" fillId="2" borderId="1" xfId="0" applyFill="1" applyBorder="1"/>
    <xf numFmtId="10" fontId="0" fillId="2" borderId="0" xfId="1" applyNumberFormat="1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64" fontId="0" fillId="2" borderId="0" xfId="0" applyNumberFormat="1" applyFill="1"/>
    <xf numFmtId="14" fontId="0" fillId="2" borderId="0" xfId="0" applyNumberFormat="1" applyFill="1" applyAlignment="1">
      <alignment horizontal="center"/>
    </xf>
    <xf numFmtId="44" fontId="0" fillId="2" borderId="0" xfId="2" applyFont="1" applyFill="1"/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2E14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 e conversão por canal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Receita (R$ mil)</c:v>
                </c:pt>
              </c:strCache>
            </c:strRef>
          </c:tx>
          <c:spPr>
            <a:solidFill>
              <a:srgbClr val="2E1437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4">
                  <a:lumMod val="20000"/>
                  <a:lumOff val="80000"/>
                  <a:alpha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Resultados!$B$4:$B$7</c:f>
              <c:strCache>
                <c:ptCount val="4"/>
                <c:pt idx="0">
                  <c:v>Anúncios pagos</c:v>
                </c:pt>
                <c:pt idx="1">
                  <c:v>Orgânico</c:v>
                </c:pt>
                <c:pt idx="2">
                  <c:v>Social</c:v>
                </c:pt>
                <c:pt idx="3">
                  <c:v>Email</c:v>
                </c:pt>
              </c:strCache>
            </c:strRef>
          </c:cat>
          <c:val>
            <c:numRef>
              <c:f>Resultados!$C$4:$C$7</c:f>
              <c:numCache>
                <c:formatCode>_-[$R$-416]\ * #,##0.00_-;\-[$R$-416]\ * #,##0.00_-;_-[$R$-416]\ * "-"??_-;_-@_-</c:formatCode>
                <c:ptCount val="4"/>
                <c:pt idx="0">
                  <c:v>7536.1470799999997</c:v>
                </c:pt>
                <c:pt idx="1">
                  <c:v>5090.708447</c:v>
                </c:pt>
                <c:pt idx="2">
                  <c:v>2578.4433119999999</c:v>
                </c:pt>
                <c:pt idx="3">
                  <c:v>1811.300315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3-4DA2-BA55-1D6533D83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axId val="186152688"/>
        <c:axId val="2085142256"/>
      </c:barChart>
      <c:lineChart>
        <c:grouping val="standard"/>
        <c:varyColors val="0"/>
        <c:ser>
          <c:idx val="1"/>
          <c:order val="1"/>
          <c:tx>
            <c:strRef>
              <c:f>Resultados!$D$3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spPr>
                <a:solidFill>
                  <a:schemeClr val="bg1">
                    <a:lumMod val="75000"/>
                    <a:alpha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6F62-4AB1-9FAF-AD0C30DC9153}"/>
                </c:ext>
              </c:extLst>
            </c:dLbl>
            <c:dLbl>
              <c:idx val="3"/>
              <c:spPr>
                <a:solidFill>
                  <a:schemeClr val="bg1">
                    <a:lumMod val="75000"/>
                    <a:alpha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F62-4AB1-9FAF-AD0C30DC9153}"/>
                </c:ext>
              </c:extLst>
            </c:dLbl>
            <c:spPr>
              <a:solidFill>
                <a:schemeClr val="bg1">
                  <a:lumMod val="95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Resultados!$B$4:$B$7</c:f>
              <c:strCache>
                <c:ptCount val="4"/>
                <c:pt idx="0">
                  <c:v>Anúncios pagos</c:v>
                </c:pt>
                <c:pt idx="1">
                  <c:v>Orgânico</c:v>
                </c:pt>
                <c:pt idx="2">
                  <c:v>Social</c:v>
                </c:pt>
                <c:pt idx="3">
                  <c:v>Email</c:v>
                </c:pt>
              </c:strCache>
            </c:strRef>
          </c:cat>
          <c:val>
            <c:numRef>
              <c:f>Resultados!$D$4:$D$7</c:f>
              <c:numCache>
                <c:formatCode>0.00%</c:formatCode>
                <c:ptCount val="4"/>
                <c:pt idx="0">
                  <c:v>6.7154070252917905E-2</c:v>
                </c:pt>
                <c:pt idx="1">
                  <c:v>6.8102153229844697E-2</c:v>
                </c:pt>
                <c:pt idx="2">
                  <c:v>6.8064855293010901E-2</c:v>
                </c:pt>
                <c:pt idx="3">
                  <c:v>7.3106185908038301E-2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B3-4DA2-BA55-1D6533D83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9930992"/>
        <c:axId val="689923312"/>
      </c:lineChart>
      <c:catAx>
        <c:axId val="18615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85142256"/>
        <c:crosses val="autoZero"/>
        <c:auto val="1"/>
        <c:lblAlgn val="ctr"/>
        <c:lblOffset val="100"/>
        <c:noMultiLvlLbl val="0"/>
      </c:catAx>
      <c:valAx>
        <c:axId val="208514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152688"/>
        <c:crosses val="autoZero"/>
        <c:crossBetween val="between"/>
      </c:valAx>
      <c:valAx>
        <c:axId val="68992331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9930992"/>
        <c:crosses val="max"/>
        <c:crossBetween val="between"/>
      </c:valAx>
      <c:catAx>
        <c:axId val="689930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89923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Perda de usuários por etapa do funil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1437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Resultados!$B$11:$E$11</c:f>
              <c:strCache>
                <c:ptCount val="4"/>
                <c:pt idx="0">
                  <c:v>Visita site -&gt; Produto</c:v>
                </c:pt>
                <c:pt idx="1">
                  <c:v>Produto -&gt; Carrinho</c:v>
                </c:pt>
                <c:pt idx="2">
                  <c:v>Carrinho -&gt; Compra</c:v>
                </c:pt>
                <c:pt idx="3">
                  <c:v>Compra -&gt; Pagamento</c:v>
                </c:pt>
              </c:strCache>
            </c:strRef>
          </c:cat>
          <c:val>
            <c:numRef>
              <c:f>Resultados!$B$12:$E$12</c:f>
              <c:numCache>
                <c:formatCode>0.00%</c:formatCode>
                <c:ptCount val="4"/>
                <c:pt idx="0">
                  <c:v>0.35108333333333303</c:v>
                </c:pt>
                <c:pt idx="1">
                  <c:v>0.65126492872736597</c:v>
                </c:pt>
                <c:pt idx="2">
                  <c:v>0.40219472676388202</c:v>
                </c:pt>
                <c:pt idx="3">
                  <c:v>0.49605765676974201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F-4BE2-A538-5A4940C4AF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499675664"/>
        <c:axId val="499676144"/>
      </c:barChart>
      <c:catAx>
        <c:axId val="49967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9676144"/>
        <c:crosses val="autoZero"/>
        <c:auto val="1"/>
        <c:lblAlgn val="ctr"/>
        <c:lblOffset val="100"/>
        <c:noMultiLvlLbl val="0"/>
      </c:catAx>
      <c:valAx>
        <c:axId val="49967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96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 por tipo de campanha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Resultados!$C$16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rgbClr val="2E143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Resultados!$B$17:$B$19</c:f>
              <c:strCache>
                <c:ptCount val="3"/>
                <c:pt idx="0">
                  <c:v>Desconto</c:v>
                </c:pt>
                <c:pt idx="1">
                  <c:v>Novo lançamento</c:v>
                </c:pt>
                <c:pt idx="2">
                  <c:v>Influenciadores</c:v>
                </c:pt>
              </c:strCache>
            </c:strRef>
          </c:cat>
          <c:val>
            <c:numRef>
              <c:f>Resultados!$C$17:$C$19</c:f>
              <c:numCache>
                <c:formatCode>General</c:formatCode>
                <c:ptCount val="3"/>
                <c:pt idx="0">
                  <c:v>4107</c:v>
                </c:pt>
                <c:pt idx="1">
                  <c:v>2448</c:v>
                </c:pt>
                <c:pt idx="2">
                  <c:v>1626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5-48AB-A142-38A8F7596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1557104"/>
        <c:axId val="191557584"/>
      </c:barChart>
      <c:catAx>
        <c:axId val="191557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557584"/>
        <c:crosses val="autoZero"/>
        <c:auto val="1"/>
        <c:lblAlgn val="ctr"/>
        <c:lblOffset val="100"/>
        <c:noMultiLvlLbl val="0"/>
      </c:catAx>
      <c:valAx>
        <c:axId val="19155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55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 e Ticket Médio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Resultados!$C$22</c:f>
              <c:strCache>
                <c:ptCount val="1"/>
                <c:pt idx="0">
                  <c:v>Receita (R$ mil)</c:v>
                </c:pt>
              </c:strCache>
            </c:strRef>
          </c:tx>
          <c:spPr>
            <a:solidFill>
              <a:srgbClr val="2E1437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EB-469D-B1F9-924DF802273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EB-469D-B1F9-924DF802273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EB-469D-B1F9-924DF802273F}"/>
                </c:ext>
              </c:extLst>
            </c:dLbl>
            <c:spPr>
              <a:solidFill>
                <a:schemeClr val="accent4">
                  <a:lumMod val="20000"/>
                  <a:lumOff val="80000"/>
                  <a:alpha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Resultados!$B$23:$B$28</c:f>
              <c:numCache>
                <c:formatCode>m/d/yyyy</c:formatCode>
                <c:ptCount val="6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</c:numCache>
            </c:numRef>
          </c:cat>
          <c:val>
            <c:numRef>
              <c:f>Resultados!$C$23:$C$28</c:f>
              <c:numCache>
                <c:formatCode>_-[$R$-416]\ * #,##0.00_-;\-[$R$-416]\ * #,##0.00_-;_-[$R$-416]\ * "-"??_-;_-@_-</c:formatCode>
                <c:ptCount val="6"/>
                <c:pt idx="0">
                  <c:v>2987.5355460000001</c:v>
                </c:pt>
                <c:pt idx="1">
                  <c:v>2842.6611499999999</c:v>
                </c:pt>
                <c:pt idx="2">
                  <c:v>2963.8077199999998</c:v>
                </c:pt>
                <c:pt idx="3">
                  <c:v>2943.9501810000002</c:v>
                </c:pt>
                <c:pt idx="4">
                  <c:v>2741.4979330000001</c:v>
                </c:pt>
                <c:pt idx="5">
                  <c:v>2537.146624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B-469D-B1F9-924DF80227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58344335"/>
        <c:axId val="658340975"/>
      </c:barChart>
      <c:lineChart>
        <c:grouping val="standard"/>
        <c:varyColors val="0"/>
        <c:ser>
          <c:idx val="1"/>
          <c:order val="1"/>
          <c:tx>
            <c:strRef>
              <c:f>Resultados!$D$22</c:f>
              <c:strCache>
                <c:ptCount val="1"/>
                <c:pt idx="0">
                  <c:v>Ticket Médio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85000"/>
                  <a:alpha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Resultados!$B$23:$B$28</c:f>
              <c:numCache>
                <c:formatCode>m/d/yyyy</c:formatCode>
                <c:ptCount val="6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</c:numCache>
            </c:numRef>
          </c:cat>
          <c:val>
            <c:numRef>
              <c:f>Resultados!$D$23:$D$28</c:f>
              <c:numCache>
                <c:formatCode>_-[$R$-416]\ * #,##0.00_-;\-[$R$-416]\ * #,##0.00_-;_-[$R$-416]\ * "-"??_-;_-@_-</c:formatCode>
                <c:ptCount val="6"/>
                <c:pt idx="0">
                  <c:v>2079.00873068893</c:v>
                </c:pt>
                <c:pt idx="1">
                  <c:v>2071.9104591836699</c:v>
                </c:pt>
                <c:pt idx="2">
                  <c:v>2081.3256460674102</c:v>
                </c:pt>
                <c:pt idx="3">
                  <c:v>2101.3206145610202</c:v>
                </c:pt>
                <c:pt idx="4">
                  <c:v>2083.2051162613898</c:v>
                </c:pt>
                <c:pt idx="5">
                  <c:v>2061.0451860276098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EB-469D-B1F9-924DF80227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78996159"/>
        <c:axId val="278995679"/>
      </c:lineChart>
      <c:dateAx>
        <c:axId val="65834433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8340975"/>
        <c:crosses val="autoZero"/>
        <c:auto val="1"/>
        <c:lblOffset val="100"/>
        <c:baseTimeUnit val="months"/>
      </c:dateAx>
      <c:valAx>
        <c:axId val="65834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Receita (R$ mil)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8344335"/>
        <c:crosses val="autoZero"/>
        <c:crossBetween val="between"/>
      </c:valAx>
      <c:valAx>
        <c:axId val="2789956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Ticket médio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-[$R$-416]\ * #,##0.00_-;\-[$R$-416]\ * #,##0.00_-;_-[$R$-416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8996159"/>
        <c:crosses val="max"/>
        <c:crossBetween val="between"/>
      </c:valAx>
      <c:dateAx>
        <c:axId val="27899615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7899567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Receita</a:t>
            </a:r>
            <a:r>
              <a:rPr lang="en-US" baseline="0"/>
              <a:t> por região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Resultados!$C$31</c:f>
              <c:strCache>
                <c:ptCount val="1"/>
                <c:pt idx="0">
                  <c:v>Lucro</c:v>
                </c:pt>
              </c:strCache>
            </c:strRef>
          </c:tx>
          <c:spPr>
            <a:solidFill>
              <a:srgbClr val="2E1437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95000"/>
                  <a:alpha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Resultados!$B$32:$B$33</c:f>
              <c:strCache>
                <c:ptCount val="2"/>
                <c:pt idx="0">
                  <c:v>Metropolitana</c:v>
                </c:pt>
                <c:pt idx="1">
                  <c:v>Não metropolitana</c:v>
                </c:pt>
              </c:strCache>
            </c:strRef>
          </c:cat>
          <c:val>
            <c:numRef>
              <c:f>Resultados!$C$32:$C$33</c:f>
              <c:numCache>
                <c:formatCode>_("R$"* #,##0.00_);_("R$"* \(#,##0.00\);_("R$"* "-"??_);_(@_)</c:formatCode>
                <c:ptCount val="2"/>
                <c:pt idx="0">
                  <c:v>11371.301552999999</c:v>
                </c:pt>
                <c:pt idx="1">
                  <c:v>7547.5657709999996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6-492B-A7B6-22C8D60EBEE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58351055"/>
        <c:axId val="658352015"/>
      </c:barChart>
      <c:catAx>
        <c:axId val="6583510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8352015"/>
        <c:crosses val="autoZero"/>
        <c:auto val="1"/>
        <c:lblAlgn val="ctr"/>
        <c:lblOffset val="100"/>
        <c:noMultiLvlLbl val="0"/>
      </c:catAx>
      <c:valAx>
        <c:axId val="65835201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658351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 e Conversão por Tipo de Usuário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Resultados!$H$3</c:f>
              <c:strCache>
                <c:ptCount val="1"/>
                <c:pt idx="0">
                  <c:v>Receita (R$ mil)</c:v>
                </c:pt>
              </c:strCache>
            </c:strRef>
          </c:tx>
          <c:spPr>
            <a:solidFill>
              <a:srgbClr val="2E1437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4">
                  <a:lumMod val="20000"/>
                  <a:lumOff val="80000"/>
                  <a:alpha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Resultados!$G$4:$G$5</c:f>
              <c:strCache>
                <c:ptCount val="2"/>
                <c:pt idx="0">
                  <c:v>Novos</c:v>
                </c:pt>
                <c:pt idx="1">
                  <c:v>Recorrentes</c:v>
                </c:pt>
              </c:strCache>
            </c:strRef>
          </c:cat>
          <c:val>
            <c:numRef>
              <c:f>Resultados!$H$4:$H$5</c:f>
              <c:numCache>
                <c:formatCode>_("R$"* #,##0.00_);_("R$"* \(#,##0.00\);_("R$"* "-"??_);_(@_)</c:formatCode>
                <c:ptCount val="2"/>
                <c:pt idx="0">
                  <c:v>12378.679631999999</c:v>
                </c:pt>
                <c:pt idx="1">
                  <c:v>6540.1876920000004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44-42B3-9964-1B14141FF9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79033599"/>
        <c:axId val="279038879"/>
      </c:barChart>
      <c:lineChart>
        <c:grouping val="standard"/>
        <c:varyColors val="0"/>
        <c:ser>
          <c:idx val="1"/>
          <c:order val="1"/>
          <c:tx>
            <c:strRef>
              <c:f>Resultados!$I$3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95000"/>
                  <a:alpha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Resultados!$G$4:$G$5</c:f>
              <c:strCache>
                <c:ptCount val="2"/>
                <c:pt idx="0">
                  <c:v>Novos</c:v>
                </c:pt>
                <c:pt idx="1">
                  <c:v>Recorrentes</c:v>
                </c:pt>
              </c:strCache>
            </c:strRef>
          </c:cat>
          <c:val>
            <c:numRef>
              <c:f>Resultados!$I$4:$I$5</c:f>
              <c:numCache>
                <c:formatCode>0.00%</c:formatCode>
                <c:ptCount val="2"/>
                <c:pt idx="0">
                  <c:v>6.9052729276640107E-2</c:v>
                </c:pt>
                <c:pt idx="1">
                  <c:v>6.6745949160101001E-2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44-42B3-9964-1B14141FF9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89543855"/>
        <c:axId val="889543375"/>
      </c:lineChart>
      <c:catAx>
        <c:axId val="27903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9038879"/>
        <c:crosses val="autoZero"/>
        <c:auto val="1"/>
        <c:lblAlgn val="ctr"/>
        <c:lblOffset val="100"/>
        <c:noMultiLvlLbl val="0"/>
      </c:catAx>
      <c:valAx>
        <c:axId val="27903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Receita (R$ mil)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9033599"/>
        <c:crosses val="autoZero"/>
        <c:crossBetween val="between"/>
      </c:valAx>
      <c:valAx>
        <c:axId val="88954337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Conversão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9543855"/>
        <c:crosses val="max"/>
        <c:crossBetween val="between"/>
      </c:valAx>
      <c:catAx>
        <c:axId val="88954385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895433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135254</xdr:colOff>
      <xdr:row>0</xdr:row>
      <xdr:rowOff>66674</xdr:rowOff>
    </xdr:from>
    <xdr:to>
      <xdr:col>14</xdr:col>
      <xdr:colOff>152400</xdr:colOff>
      <xdr:row>15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CC58A70-A4DB-6DA7-1A4E-4B2FE9A88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247649</xdr:colOff>
      <xdr:row>0</xdr:row>
      <xdr:rowOff>66675</xdr:rowOff>
    </xdr:from>
    <xdr:to>
      <xdr:col>28</xdr:col>
      <xdr:colOff>523874</xdr:colOff>
      <xdr:row>19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1B63AE-9222-0A4A-556D-F9C4DAC86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142875</xdr:colOff>
      <xdr:row>16</xdr:row>
      <xdr:rowOff>28576</xdr:rowOff>
    </xdr:from>
    <xdr:to>
      <xdr:col>7</xdr:col>
      <xdr:colOff>247650</xdr:colOff>
      <xdr:row>27</xdr:row>
      <xdr:rowOff>76201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4FD6D78-C9A0-5CA7-CB9F-39A704B12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257175</xdr:colOff>
      <xdr:row>20</xdr:row>
      <xdr:rowOff>19050</xdr:rowOff>
    </xdr:from>
    <xdr:to>
      <xdr:col>28</xdr:col>
      <xdr:colOff>504825</xdr:colOff>
      <xdr:row>42</xdr:row>
      <xdr:rowOff>28575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B2A8661-1562-9D50-7E07-FDA08F6DFE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314325</xdr:colOff>
      <xdr:row>16</xdr:row>
      <xdr:rowOff>33338</xdr:rowOff>
    </xdr:from>
    <xdr:to>
      <xdr:col>14</xdr:col>
      <xdr:colOff>161925</xdr:colOff>
      <xdr:row>27</xdr:row>
      <xdr:rowOff>76200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0F8BBD0-2300-EC50-781C-CBBDDC985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27</xdr:row>
      <xdr:rowOff>133351</xdr:rowOff>
    </xdr:from>
    <xdr:to>
      <xdr:col>14</xdr:col>
      <xdr:colOff>190500</xdr:colOff>
      <xdr:row>42</xdr:row>
      <xdr:rowOff>47626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62739EB2-407B-184E-E970-3EE7AB16F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327659</xdr:colOff>
      <xdr:row>0</xdr:row>
      <xdr:rowOff>175260</xdr:rowOff>
    </xdr:from>
    <xdr:to>
      <xdr:col>8</xdr:col>
      <xdr:colOff>33866</xdr:colOff>
      <xdr:row>12</xdr:row>
      <xdr:rowOff>101600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2F35BE4-92C5-A2B5-24E0-E86FA54EA8D2}"/>
            </a:ext>
          </a:extLst>
        </xdr:cNvPr>
        <xdr:cNvSpPr txBox="1"/>
      </xdr:nvSpPr>
      <xdr:spPr>
        <a:xfrm>
          <a:off x="327659" y="175260"/>
          <a:ext cx="4583007" cy="2161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(</a:t>
          </a:r>
          <a:r>
            <a:rPr lang="pt-BR" sz="1100" b="1"/>
            <a:t>Query 1) Receita</a:t>
          </a:r>
          <a:r>
            <a:rPr lang="pt-BR" sz="1100" b="1" baseline="0"/>
            <a:t> e conversão por canal</a:t>
          </a:r>
        </a:p>
        <a:p>
          <a:endParaRPr lang="pt-BR" sz="1100" baseline="0"/>
        </a:p>
        <a:p>
          <a:r>
            <a:rPr lang="pt-BR" sz="1100"/>
            <a:t>select</a:t>
          </a:r>
        </a:p>
        <a:p>
          <a:r>
            <a:rPr lang="pt-BR" sz="1100"/>
            <a:t>          ses.channel as canal, 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sum(revenue/1000) as receita,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sum(fun.purchase_completed)::float / sum(fun.visited_website) as conversao</a:t>
          </a:r>
        </a:p>
        <a:p>
          <a:r>
            <a:rPr lang="pt-BR" sz="1100"/>
            <a:t>from analytics.sessions as ses</a:t>
          </a:r>
        </a:p>
        <a:p>
          <a:r>
            <a:rPr lang="pt-BR" sz="1100"/>
            <a:t>left join analytics.funnel as fun	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on ses.session_id = fun.session_id</a:t>
          </a:r>
        </a:p>
        <a:p>
          <a:r>
            <a:rPr lang="pt-BR" sz="1100"/>
            <a:t>group by canal</a:t>
          </a:r>
        </a:p>
        <a:p>
          <a:r>
            <a:rPr lang="pt-BR" sz="1100"/>
            <a:t>order by receita desc</a:t>
          </a:r>
        </a:p>
      </xdr:txBody>
    </xdr:sp>
    <xdr:clientData/>
  </xdr:twoCellAnchor>
  <xdr:twoCellAnchor>
    <xdr:from>
      <xdr:col>8</xdr:col>
      <xdr:colOff>93133</xdr:colOff>
      <xdr:row>0</xdr:row>
      <xdr:rowOff>177800</xdr:rowOff>
    </xdr:from>
    <xdr:to>
      <xdr:col>18</xdr:col>
      <xdr:colOff>287868</xdr:colOff>
      <xdr:row>12</xdr:row>
      <xdr:rowOff>127000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3C3A4FF-E631-49AD-4A7A-5DA1FA719878}"/>
            </a:ext>
          </a:extLst>
        </xdr:cNvPr>
        <xdr:cNvSpPr txBox="1"/>
      </xdr:nvSpPr>
      <xdr:spPr>
        <a:xfrm>
          <a:off x="4969933" y="177800"/>
          <a:ext cx="6290735" cy="2184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(Query 2) Em quais</a:t>
          </a:r>
          <a:r>
            <a:rPr lang="pt-BR" sz="1100" b="1" baseline="0"/>
            <a:t> etapas do funil</a:t>
          </a:r>
          <a:r>
            <a:rPr lang="pt-BR" sz="1100" b="1"/>
            <a:t> ocorrem a maior perda</a:t>
          </a:r>
          <a:r>
            <a:rPr lang="pt-BR" sz="1100" b="1" baseline="0"/>
            <a:t> de clientes?</a:t>
          </a:r>
        </a:p>
        <a:p>
          <a:endParaRPr lang="pt-BR" sz="1100" baseline="0"/>
        </a:p>
        <a:p>
          <a:r>
            <a:rPr lang="pt-BR" sz="1100"/>
            <a:t>select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1 - (sum(viewed_product)::float / sum(visited_website)) as visitaWebsite_produtosVisitados,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1 - (sum(added_to_cart)::float / sum(viewed_product)) as produtosVisitados_carrinho,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1 - (sum(checkout_started)::float / sum(added_to_cart)) as carrinho_comprasIniciadas,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1 - (sum(purchase_completed)::float / sum(checkout_started)) as comprasIniciadas_pagamentoFeito</a:t>
          </a:r>
        </a:p>
        <a:p>
          <a:r>
            <a:rPr lang="pt-BR" sz="1100"/>
            <a:t>from analytics.funnel</a:t>
          </a:r>
        </a:p>
      </xdr:txBody>
    </xdr:sp>
    <xdr:clientData/>
  </xdr:twoCellAnchor>
  <xdr:twoCellAnchor>
    <xdr:from>
      <xdr:col>0</xdr:col>
      <xdr:colOff>330199</xdr:colOff>
      <xdr:row>12</xdr:row>
      <xdr:rowOff>160866</xdr:rowOff>
    </xdr:from>
    <xdr:to>
      <xdr:col>8</xdr:col>
      <xdr:colOff>33867</xdr:colOff>
      <xdr:row>23</xdr:row>
      <xdr:rowOff>101600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8689B733-5B48-6D21-327B-801657D43D86}"/>
            </a:ext>
          </a:extLst>
        </xdr:cNvPr>
        <xdr:cNvSpPr txBox="1"/>
      </xdr:nvSpPr>
      <xdr:spPr>
        <a:xfrm>
          <a:off x="330199" y="2396066"/>
          <a:ext cx="4580468" cy="1989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(Query 3) quantidade de vendas pelo tipo de campanha</a:t>
          </a:r>
        </a:p>
        <a:p>
          <a:endParaRPr lang="pt-BR" sz="1100"/>
        </a:p>
        <a:p>
          <a:r>
            <a:rPr lang="pt-BR" sz="1100"/>
            <a:t>select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ses.campaign_type,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sum(fun.purchase_completed) as vendas</a:t>
          </a:r>
        </a:p>
        <a:p>
          <a:r>
            <a:rPr lang="pt-BR" sz="1100"/>
            <a:t>from analytics.funnel as fun</a:t>
          </a:r>
        </a:p>
        <a:p>
          <a:r>
            <a:rPr lang="pt-BR" sz="1100"/>
            <a:t>left join analytics.sessions as ses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on fun.session_id = ses.session_id</a:t>
          </a:r>
        </a:p>
        <a:p>
          <a:r>
            <a:rPr lang="pt-BR" sz="1100"/>
            <a:t>group by ses.campaign_type</a:t>
          </a:r>
        </a:p>
        <a:p>
          <a:r>
            <a:rPr lang="pt-BR" sz="1100"/>
            <a:t>order by vendas desc </a:t>
          </a:r>
        </a:p>
      </xdr:txBody>
    </xdr:sp>
    <xdr:clientData/>
  </xdr:twoCellAnchor>
  <xdr:twoCellAnchor>
    <xdr:from>
      <xdr:col>8</xdr:col>
      <xdr:colOff>93135</xdr:colOff>
      <xdr:row>12</xdr:row>
      <xdr:rowOff>177801</xdr:rowOff>
    </xdr:from>
    <xdr:to>
      <xdr:col>18</xdr:col>
      <xdr:colOff>270935</xdr:colOff>
      <xdr:row>23</xdr:row>
      <xdr:rowOff>127002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C31B7104-1671-C066-DDC1-8E85C8245A1F}"/>
            </a:ext>
          </a:extLst>
        </xdr:cNvPr>
        <xdr:cNvSpPr txBox="1"/>
      </xdr:nvSpPr>
      <xdr:spPr>
        <a:xfrm>
          <a:off x="4969935" y="2413001"/>
          <a:ext cx="6273800" cy="1998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/>
            <a:t>(Query 4) 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Receita e Ticket Médio ao Longo do Tempo</a:t>
          </a:r>
          <a:endParaRPr lang="pt-BR" sz="1100" b="1"/>
        </a:p>
        <a:p>
          <a:endParaRPr lang="pt-BR" sz="1100"/>
        </a:p>
        <a:p>
          <a:r>
            <a:rPr lang="pt-BR" sz="1100"/>
            <a:t>select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date_trunc('month', ses.date)::date as mes,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sum(fun.revenue/1000) as receita,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sum(fun.revenue) / nullif(sum(purchase_completed), 0) as ticket_medio</a:t>
          </a:r>
        </a:p>
        <a:p>
          <a:r>
            <a:rPr lang="pt-BR" sz="1100"/>
            <a:t>from analytics.funnel as fun</a:t>
          </a:r>
        </a:p>
        <a:p>
          <a:r>
            <a:rPr lang="pt-BR" sz="1100"/>
            <a:t>join analytics.sessions as ses	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on fun.session_id = ses.session_id</a:t>
          </a:r>
        </a:p>
        <a:p>
          <a:r>
            <a:rPr lang="pt-BR" sz="1100"/>
            <a:t>group by mes</a:t>
          </a:r>
        </a:p>
        <a:p>
          <a:r>
            <a:rPr lang="pt-BR" sz="1100"/>
            <a:t>order by mes </a:t>
          </a:r>
        </a:p>
      </xdr:txBody>
    </xdr:sp>
    <xdr:clientData/>
  </xdr:twoCellAnchor>
  <xdr:twoCellAnchor>
    <xdr:from>
      <xdr:col>0</xdr:col>
      <xdr:colOff>313268</xdr:colOff>
      <xdr:row>23</xdr:row>
      <xdr:rowOff>160867</xdr:rowOff>
    </xdr:from>
    <xdr:to>
      <xdr:col>8</xdr:col>
      <xdr:colOff>33868</xdr:colOff>
      <xdr:row>34</xdr:row>
      <xdr:rowOff>42333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1498C6F0-A9AD-FEEB-4B59-FBF1566F9099}"/>
            </a:ext>
          </a:extLst>
        </xdr:cNvPr>
        <xdr:cNvSpPr txBox="1"/>
      </xdr:nvSpPr>
      <xdr:spPr>
        <a:xfrm>
          <a:off x="313268" y="4445000"/>
          <a:ext cx="4597400" cy="193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(Query</a:t>
          </a:r>
          <a:r>
            <a:rPr lang="pt-BR" sz="1100" b="1" baseline="0"/>
            <a:t> 5) Quais regiões são mais lucrativas</a:t>
          </a:r>
        </a:p>
        <a:p>
          <a:endParaRPr lang="pt-BR" sz="1100" baseline="0"/>
        </a:p>
        <a:p>
          <a:r>
            <a:rPr lang="pt-BR" sz="1100"/>
            <a:t>select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c.region,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sum(f.revenue/1000) as receita</a:t>
          </a:r>
        </a:p>
        <a:p>
          <a:r>
            <a:rPr lang="pt-BR" sz="1100"/>
            <a:t>from analytics.funnel as f</a:t>
          </a:r>
        </a:p>
        <a:p>
          <a:r>
            <a:rPr lang="pt-BR" sz="1100"/>
            <a:t>left join analytics.customers as c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on f.user_id = c.user_id</a:t>
          </a:r>
        </a:p>
        <a:p>
          <a:r>
            <a:rPr lang="pt-BR" sz="1100"/>
            <a:t>group by c.region</a:t>
          </a:r>
        </a:p>
        <a:p>
          <a:r>
            <a:rPr lang="pt-BR" sz="1100"/>
            <a:t>order by receita desc</a:t>
          </a:r>
        </a:p>
      </xdr:txBody>
    </xdr:sp>
    <xdr:clientData/>
  </xdr:twoCellAnchor>
  <xdr:twoCellAnchor>
    <xdr:from>
      <xdr:col>8</xdr:col>
      <xdr:colOff>93133</xdr:colOff>
      <xdr:row>23</xdr:row>
      <xdr:rowOff>169334</xdr:rowOff>
    </xdr:from>
    <xdr:to>
      <xdr:col>18</xdr:col>
      <xdr:colOff>287866</xdr:colOff>
      <xdr:row>34</xdr:row>
      <xdr:rowOff>42333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CFCC3FFE-5E4F-9807-7F58-27D22381F36E}"/>
            </a:ext>
          </a:extLst>
        </xdr:cNvPr>
        <xdr:cNvSpPr txBox="1"/>
      </xdr:nvSpPr>
      <xdr:spPr>
        <a:xfrm>
          <a:off x="4969933" y="4453467"/>
          <a:ext cx="6290733" cy="19219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(Query 6) Usuários novos vs recorrentes convertem diferente?</a:t>
          </a:r>
        </a:p>
        <a:p>
          <a:endParaRPr lang="pt-BR" sz="1100"/>
        </a:p>
        <a:p>
          <a:r>
            <a:rPr lang="pt-BR" sz="1100"/>
            <a:t>select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c.user_type,    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SUM(f.revenue/1000) AS receita,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SUM(f.purchase_completed)::float / SUM(f.visited_website) AS conversao</a:t>
          </a:r>
        </a:p>
        <a:p>
          <a:r>
            <a:rPr lang="pt-BR" sz="1100"/>
            <a:t>from analytics.funnel f</a:t>
          </a:r>
        </a:p>
        <a:p>
          <a:r>
            <a:rPr lang="pt-BR" sz="1100"/>
            <a:t>join analytics.customers c</a:t>
          </a:r>
        </a:p>
        <a:p>
          <a:r>
            <a:rPr lang="pt-B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</a:t>
          </a:r>
          <a:r>
            <a:rPr lang="pt-BR" sz="1100"/>
            <a:t>on f.user_id = c.user_id</a:t>
          </a:r>
        </a:p>
        <a:p>
          <a:r>
            <a:rPr lang="pt-BR" sz="1100"/>
            <a:t>group by c.user_type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17F6-5DB7-4917-96AE-8C43F17D0E8C}">
  <sheetPr>
    <tabColor rgb="FF0070C0"/>
  </sheetPr>
  <dimension ref="A1"/>
  <sheetViews>
    <sheetView showGridLines="0" tabSelected="1" zoomScale="80" zoomScaleNormal="80" workbookViewId="0">
      <selection activeCell="AD6" sqref="AD6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143C-62B2-4FFB-A30F-AC91AFFA4434}">
  <sheetPr>
    <tabColor theme="7"/>
  </sheetPr>
  <dimension ref="B2:I33"/>
  <sheetViews>
    <sheetView showGridLines="0" zoomScale="90" zoomScaleNormal="90" workbookViewId="0">
      <selection activeCell="H15" sqref="H15"/>
    </sheetView>
  </sheetViews>
  <sheetFormatPr defaultRowHeight="14.4" x14ac:dyDescent="0.3"/>
  <cols>
    <col min="2" max="2" width="31.5546875" customWidth="1"/>
    <col min="3" max="3" width="18.21875" bestFit="1" customWidth="1"/>
    <col min="4" max="4" width="18" bestFit="1" customWidth="1"/>
    <col min="5" max="5" width="20.44140625" bestFit="1" customWidth="1"/>
    <col min="6" max="6" width="5.21875" customWidth="1"/>
    <col min="7" max="7" width="18.21875" bestFit="1" customWidth="1"/>
    <col min="8" max="8" width="18" bestFit="1" customWidth="1"/>
    <col min="9" max="9" width="15.33203125" customWidth="1"/>
    <col min="10" max="10" width="15.6640625" customWidth="1"/>
    <col min="11" max="11" width="12.6640625" bestFit="1" customWidth="1"/>
    <col min="12" max="12" width="20.77734375" bestFit="1" customWidth="1"/>
  </cols>
  <sheetData>
    <row r="2" spans="2:9" x14ac:dyDescent="0.3">
      <c r="B2" s="1" t="s">
        <v>0</v>
      </c>
      <c r="C2" s="2"/>
      <c r="D2" s="2"/>
      <c r="G2" s="1" t="s">
        <v>29</v>
      </c>
      <c r="H2" s="2"/>
      <c r="I2" s="2"/>
    </row>
    <row r="3" spans="2:9" x14ac:dyDescent="0.3">
      <c r="B3" s="7" t="s">
        <v>1</v>
      </c>
      <c r="C3" s="7" t="s">
        <v>20</v>
      </c>
      <c r="D3" s="7" t="s">
        <v>2</v>
      </c>
      <c r="G3" s="5" t="s">
        <v>30</v>
      </c>
      <c r="H3" s="5" t="s">
        <v>20</v>
      </c>
      <c r="I3" s="5" t="s">
        <v>2</v>
      </c>
    </row>
    <row r="4" spans="2:9" x14ac:dyDescent="0.3">
      <c r="B4" s="2" t="s">
        <v>16</v>
      </c>
      <c r="C4" s="3">
        <v>7536.1470799999997</v>
      </c>
      <c r="D4" s="4">
        <v>6.7154070252917905E-2</v>
      </c>
      <c r="G4" s="2" t="s">
        <v>22</v>
      </c>
      <c r="H4" s="11">
        <v>12378.679631999999</v>
      </c>
      <c r="I4" s="4">
        <v>6.9052729276640107E-2</v>
      </c>
    </row>
    <row r="5" spans="2:9" x14ac:dyDescent="0.3">
      <c r="B5" s="2" t="s">
        <v>17</v>
      </c>
      <c r="C5" s="3">
        <v>5090.708447</v>
      </c>
      <c r="D5" s="4">
        <v>6.8102153229844697E-2</v>
      </c>
      <c r="G5" s="2" t="s">
        <v>23</v>
      </c>
      <c r="H5" s="11">
        <v>6540.1876920000004</v>
      </c>
      <c r="I5" s="4">
        <v>6.6745949160101001E-2</v>
      </c>
    </row>
    <row r="6" spans="2:9" x14ac:dyDescent="0.3">
      <c r="B6" s="2" t="s">
        <v>3</v>
      </c>
      <c r="C6" s="3">
        <v>2578.4433119999999</v>
      </c>
      <c r="D6" s="4">
        <v>6.8064855293010901E-2</v>
      </c>
    </row>
    <row r="7" spans="2:9" x14ac:dyDescent="0.3">
      <c r="B7" s="2" t="s">
        <v>4</v>
      </c>
      <c r="C7" s="3">
        <v>1811.300315</v>
      </c>
      <c r="D7" s="4">
        <v>7.3106185908038301E-2</v>
      </c>
    </row>
    <row r="10" spans="2:9" x14ac:dyDescent="0.3">
      <c r="B10" s="1" t="s">
        <v>5</v>
      </c>
      <c r="C10" s="2"/>
      <c r="D10" s="2"/>
      <c r="E10" s="2"/>
    </row>
    <row r="11" spans="2:9" x14ac:dyDescent="0.3">
      <c r="B11" s="7" t="s">
        <v>9</v>
      </c>
      <c r="C11" s="7" t="s">
        <v>6</v>
      </c>
      <c r="D11" s="8" t="s">
        <v>7</v>
      </c>
      <c r="E11" s="7" t="s">
        <v>8</v>
      </c>
    </row>
    <row r="12" spans="2:9" x14ac:dyDescent="0.3">
      <c r="B12" s="6">
        <v>0.35108333333333303</v>
      </c>
      <c r="C12" s="6">
        <v>0.65126492872736597</v>
      </c>
      <c r="D12" s="6">
        <v>0.40219472676388202</v>
      </c>
      <c r="E12" s="6">
        <v>0.49605765676974201</v>
      </c>
    </row>
    <row r="15" spans="2:9" x14ac:dyDescent="0.3">
      <c r="B15" s="1" t="s">
        <v>10</v>
      </c>
      <c r="C15" s="2"/>
    </row>
    <row r="16" spans="2:9" x14ac:dyDescent="0.3">
      <c r="B16" s="7" t="s">
        <v>11</v>
      </c>
      <c r="C16" s="7" t="s">
        <v>12</v>
      </c>
    </row>
    <row r="17" spans="2:4" x14ac:dyDescent="0.3">
      <c r="B17" s="2" t="s">
        <v>15</v>
      </c>
      <c r="C17" s="2">
        <v>4107</v>
      </c>
    </row>
    <row r="18" spans="2:4" x14ac:dyDescent="0.3">
      <c r="B18" s="2" t="s">
        <v>14</v>
      </c>
      <c r="C18" s="2">
        <v>2448</v>
      </c>
    </row>
    <row r="19" spans="2:4" x14ac:dyDescent="0.3">
      <c r="B19" s="2" t="s">
        <v>13</v>
      </c>
      <c r="C19" s="2">
        <v>1626</v>
      </c>
    </row>
    <row r="21" spans="2:4" x14ac:dyDescent="0.3">
      <c r="B21" s="1" t="s">
        <v>18</v>
      </c>
      <c r="C21" s="2"/>
      <c r="D21" s="2"/>
    </row>
    <row r="22" spans="2:4" x14ac:dyDescent="0.3">
      <c r="B22" s="7" t="s">
        <v>19</v>
      </c>
      <c r="C22" s="7" t="s">
        <v>20</v>
      </c>
      <c r="D22" s="7" t="s">
        <v>21</v>
      </c>
    </row>
    <row r="23" spans="2:4" x14ac:dyDescent="0.3">
      <c r="B23" s="10">
        <v>45839</v>
      </c>
      <c r="C23" s="9">
        <v>2987.5355460000001</v>
      </c>
      <c r="D23" s="9">
        <v>2079.00873068893</v>
      </c>
    </row>
    <row r="24" spans="2:4" x14ac:dyDescent="0.3">
      <c r="B24" s="10">
        <v>45870</v>
      </c>
      <c r="C24" s="9">
        <v>2842.6611499999999</v>
      </c>
      <c r="D24" s="9">
        <v>2071.9104591836699</v>
      </c>
    </row>
    <row r="25" spans="2:4" x14ac:dyDescent="0.3">
      <c r="B25" s="10">
        <v>45901</v>
      </c>
      <c r="C25" s="9">
        <v>2963.8077199999998</v>
      </c>
      <c r="D25" s="9">
        <v>2081.3256460674102</v>
      </c>
    </row>
    <row r="26" spans="2:4" x14ac:dyDescent="0.3">
      <c r="B26" s="10">
        <v>45931</v>
      </c>
      <c r="C26" s="9">
        <v>2943.9501810000002</v>
      </c>
      <c r="D26" s="9">
        <v>2101.3206145610202</v>
      </c>
    </row>
    <row r="27" spans="2:4" x14ac:dyDescent="0.3">
      <c r="B27" s="10">
        <v>45962</v>
      </c>
      <c r="C27" s="9">
        <v>2741.4979330000001</v>
      </c>
      <c r="D27" s="9">
        <v>2083.2051162613898</v>
      </c>
    </row>
    <row r="28" spans="2:4" x14ac:dyDescent="0.3">
      <c r="B28" s="10">
        <v>45992</v>
      </c>
      <c r="C28" s="9">
        <v>2537.146624</v>
      </c>
      <c r="D28" s="9">
        <v>2061.0451860276098</v>
      </c>
    </row>
    <row r="30" spans="2:4" x14ac:dyDescent="0.3">
      <c r="B30" s="1" t="s">
        <v>24</v>
      </c>
      <c r="C30" s="2"/>
    </row>
    <row r="31" spans="2:4" x14ac:dyDescent="0.3">
      <c r="B31" s="7" t="s">
        <v>25</v>
      </c>
      <c r="C31" s="7" t="s">
        <v>26</v>
      </c>
    </row>
    <row r="32" spans="2:4" x14ac:dyDescent="0.3">
      <c r="B32" s="2" t="s">
        <v>27</v>
      </c>
      <c r="C32" s="11">
        <v>11371.301552999999</v>
      </c>
    </row>
    <row r="33" spans="2:3" x14ac:dyDescent="0.3">
      <c r="B33" s="2" t="s">
        <v>28</v>
      </c>
      <c r="C33" s="11">
        <v>7547.5657709999996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4851-877F-4C18-A215-E7DA300101F5}">
  <dimension ref="A1"/>
  <sheetViews>
    <sheetView showGridLines="0" zoomScale="90" zoomScaleNormal="90" workbookViewId="0">
      <selection activeCell="U10" sqref="U10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Nogueira</dc:creator>
  <cp:lastModifiedBy>Eduardo Nogueira</cp:lastModifiedBy>
  <dcterms:created xsi:type="dcterms:W3CDTF">2026-04-27T12:45:58Z</dcterms:created>
  <dcterms:modified xsi:type="dcterms:W3CDTF">2026-04-28T18:48:56Z</dcterms:modified>
</cp:coreProperties>
</file>